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teccom-my.sharepoint.com/personal/paulo_santos_bandtec_com_br/Documents/"/>
    </mc:Choice>
  </mc:AlternateContent>
  <xr:revisionPtr revIDLastSave="106" documentId="8_{B94A7910-8881-4F77-B21E-3687CCA96F87}" xr6:coauthVersionLast="46" xr6:coauthVersionMax="46" xr10:uidLastSave="{FE0E23A2-9B11-4417-9C0A-0368643027DD}"/>
  <bookViews>
    <workbookView xWindow="-120" yWindow="-120" windowWidth="20730" windowHeight="11160" xr2:uid="{DB5004F1-4D2E-46EE-9B82-A8795931F35E}"/>
  </bookViews>
  <sheets>
    <sheet name="Planilh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5" i="1"/>
  <c r="E6" i="1"/>
  <c r="E7" i="1"/>
  <c r="B20" i="1" s="1"/>
  <c r="E8" i="1"/>
  <c r="E9" i="1"/>
  <c r="E10" i="1"/>
  <c r="E4" i="1"/>
</calcChain>
</file>

<file path=xl/sharedStrings.xml><?xml version="1.0" encoding="utf-8"?>
<sst xmlns="http://schemas.openxmlformats.org/spreadsheetml/2006/main" count="35" uniqueCount="35">
  <si>
    <t>ORÇAMENTO DE SERVIÇO</t>
  </si>
  <si>
    <t>EQUIPAMENTOS NECESSARIOS</t>
  </si>
  <si>
    <t>EQUIPAMENTOS</t>
  </si>
  <si>
    <t>MODELO</t>
  </si>
  <si>
    <t>PREÇO UNITARIO</t>
  </si>
  <si>
    <t>QUANTIDADE</t>
  </si>
  <si>
    <t>TOTAL</t>
  </si>
  <si>
    <t>Sensor de Temp. e umidade</t>
  </si>
  <si>
    <t>DHT11</t>
  </si>
  <si>
    <t>Climatizador e Evaporizador</t>
  </si>
  <si>
    <t>23.000m3</t>
  </si>
  <si>
    <t>Ar Condicionado Split</t>
  </si>
  <si>
    <t>Philco 30000 btus</t>
  </si>
  <si>
    <t>Notebook Dell</t>
  </si>
  <si>
    <t>Inspirior 5481</t>
  </si>
  <si>
    <t>Aquecedor eletrico industrial</t>
  </si>
  <si>
    <t>3KW 220</t>
  </si>
  <si>
    <t xml:space="preserve">Kit arduino </t>
  </si>
  <si>
    <t>Uno R3 CH340</t>
  </si>
  <si>
    <t>Placa Wifi p/ arduino</t>
  </si>
  <si>
    <t>ESP8266</t>
  </si>
  <si>
    <t>Case</t>
  </si>
  <si>
    <t>Arduino UNO</t>
  </si>
  <si>
    <t>Servidor em nuvem</t>
  </si>
  <si>
    <t>Amazon aurora Server</t>
  </si>
  <si>
    <t>Internet VIVO</t>
  </si>
  <si>
    <t>Fibra otica 300MB</t>
  </si>
  <si>
    <t>MÃO DE OBRA</t>
  </si>
  <si>
    <t>SERVIÇO</t>
  </si>
  <si>
    <t>VALOR</t>
  </si>
  <si>
    <t xml:space="preserve"> </t>
  </si>
  <si>
    <t>Visita tecnica</t>
  </si>
  <si>
    <t>Instalação dos equipamentos</t>
  </si>
  <si>
    <t>Implantação do sistema</t>
  </si>
  <si>
    <t xml:space="preserve">VALOR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</si>
</sst>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A2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164" fontId="0" fillId="0" borderId="4" xfId="1" applyFont="1" applyBorder="1"/>
    <xf numFmtId="164" fontId="0" fillId="0" borderId="2" xfId="1" applyFont="1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4" borderId="0" xfId="0" applyFont="1" applyFill="1" applyBorder="1" applyAlignment="1"/>
    <xf numFmtId="4" fontId="0" fillId="0" borderId="2" xfId="0" applyNumberFormat="1" applyBorder="1"/>
    <xf numFmtId="164" fontId="0" fillId="0" borderId="1" xfId="0" applyNumberFormat="1" applyBorder="1"/>
    <xf numFmtId="0" fontId="2" fillId="2" borderId="1" xfId="0" applyFont="1" applyFill="1" applyBorder="1"/>
    <xf numFmtId="164" fontId="0" fillId="0" borderId="2" xfId="1" applyFont="1" applyFill="1" applyBorder="1"/>
    <xf numFmtId="0" fontId="2" fillId="0" borderId="3" xfId="0" applyFont="1" applyFill="1" applyBorder="1" applyAlignment="1">
      <alignment horizontal="center"/>
    </xf>
    <xf numFmtId="164" fontId="0" fillId="0" borderId="2" xfId="0" applyNumberFormat="1" applyBorder="1"/>
    <xf numFmtId="0" fontId="0" fillId="0" borderId="2" xfId="1" applyNumberFormat="1" applyFont="1" applyBorder="1" applyAlignment="1">
      <alignment horizontal="center"/>
    </xf>
    <xf numFmtId="164" fontId="0" fillId="0" borderId="2" xfId="0" applyNumberFormat="1" applyFill="1" applyBorder="1"/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6A2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F1D0-17D3-4C92-B6E4-6F624153557C}">
  <dimension ref="A1:F20"/>
  <sheetViews>
    <sheetView tabSelected="1" topLeftCell="A5" workbookViewId="0">
      <selection activeCell="D18" sqref="D18"/>
    </sheetView>
  </sheetViews>
  <sheetFormatPr defaultRowHeight="15"/>
  <cols>
    <col min="1" max="1" width="27.28515625" bestFit="1" customWidth="1"/>
    <col min="2" max="2" width="20.7109375" bestFit="1" customWidth="1"/>
    <col min="3" max="3" width="16.28515625" bestFit="1" customWidth="1"/>
    <col min="4" max="4" width="14.140625" bestFit="1" customWidth="1"/>
    <col min="5" max="5" width="12.140625" bestFit="1" customWidth="1"/>
    <col min="6" max="6" width="7" bestFit="1" customWidth="1"/>
    <col min="7" max="7" width="13.85546875" customWidth="1"/>
  </cols>
  <sheetData>
    <row r="1" spans="1:6" ht="15.75" thickBot="1">
      <c r="A1" s="23" t="s">
        <v>0</v>
      </c>
      <c r="B1" s="24"/>
      <c r="C1" s="24"/>
      <c r="D1" s="24"/>
      <c r="E1" s="25"/>
      <c r="F1" s="10"/>
    </row>
    <row r="2" spans="1:6" ht="15.75" thickBot="1">
      <c r="A2" s="21" t="s">
        <v>1</v>
      </c>
      <c r="B2" s="26"/>
      <c r="C2" s="26"/>
      <c r="D2" s="26"/>
      <c r="E2" s="22"/>
    </row>
    <row r="3" spans="1:6" ht="15.75" thickBot="1">
      <c r="A3" s="9" t="s">
        <v>2</v>
      </c>
      <c r="B3" s="9" t="s">
        <v>3</v>
      </c>
      <c r="C3" s="9" t="s">
        <v>4</v>
      </c>
      <c r="D3" s="15" t="s">
        <v>5</v>
      </c>
      <c r="E3" s="15" t="s">
        <v>6</v>
      </c>
    </row>
    <row r="4" spans="1:6">
      <c r="A4" s="2" t="s">
        <v>7</v>
      </c>
      <c r="B4" s="7" t="s">
        <v>8</v>
      </c>
      <c r="C4" s="5">
        <v>11.1</v>
      </c>
      <c r="D4" s="7">
        <v>5</v>
      </c>
      <c r="E4" s="16">
        <f>C4*D4</f>
        <v>55.5</v>
      </c>
    </row>
    <row r="5" spans="1:6">
      <c r="A5" s="6" t="s">
        <v>9</v>
      </c>
      <c r="B5" s="8" t="s">
        <v>10</v>
      </c>
      <c r="C5" s="5">
        <v>7500</v>
      </c>
      <c r="D5" s="7">
        <v>1</v>
      </c>
      <c r="E5" s="16">
        <f>C5*D5</f>
        <v>7500</v>
      </c>
    </row>
    <row r="6" spans="1:6">
      <c r="A6" s="6" t="s">
        <v>11</v>
      </c>
      <c r="B6" s="8" t="s">
        <v>12</v>
      </c>
      <c r="C6" s="5">
        <v>3122.1</v>
      </c>
      <c r="D6" s="7">
        <v>1</v>
      </c>
      <c r="E6" s="16">
        <f t="shared" ref="E5:E13" si="0">C6*D6</f>
        <v>3122.1</v>
      </c>
    </row>
    <row r="7" spans="1:6">
      <c r="A7" s="6" t="s">
        <v>13</v>
      </c>
      <c r="B7" s="8" t="s">
        <v>14</v>
      </c>
      <c r="C7" s="11">
        <v>3230.1</v>
      </c>
      <c r="D7" s="7">
        <v>1</v>
      </c>
      <c r="E7" s="16">
        <f t="shared" si="0"/>
        <v>3230.1</v>
      </c>
    </row>
    <row r="8" spans="1:6">
      <c r="A8" s="6" t="s">
        <v>15</v>
      </c>
      <c r="B8" s="8" t="s">
        <v>16</v>
      </c>
      <c r="C8" s="14">
        <v>1200</v>
      </c>
      <c r="D8" s="17">
        <v>1</v>
      </c>
      <c r="E8" s="16">
        <f t="shared" si="0"/>
        <v>1200</v>
      </c>
    </row>
    <row r="9" spans="1:6">
      <c r="A9" s="6" t="s">
        <v>17</v>
      </c>
      <c r="B9" s="8" t="s">
        <v>18</v>
      </c>
      <c r="C9" s="14">
        <v>85.4</v>
      </c>
      <c r="D9" s="17">
        <v>5</v>
      </c>
      <c r="E9" s="16">
        <f t="shared" si="0"/>
        <v>427</v>
      </c>
    </row>
    <row r="10" spans="1:6">
      <c r="A10" s="6" t="s">
        <v>19</v>
      </c>
      <c r="B10" s="8" t="s">
        <v>20</v>
      </c>
      <c r="C10" s="14">
        <v>26.9</v>
      </c>
      <c r="D10" s="7">
        <v>5</v>
      </c>
      <c r="E10" s="16">
        <f t="shared" si="0"/>
        <v>134.5</v>
      </c>
    </row>
    <row r="11" spans="1:6">
      <c r="A11" s="6" t="s">
        <v>21</v>
      </c>
      <c r="B11" s="8" t="s">
        <v>22</v>
      </c>
      <c r="C11" s="14">
        <v>14.5</v>
      </c>
      <c r="D11" s="8">
        <v>5</v>
      </c>
      <c r="E11" s="18">
        <f t="shared" si="0"/>
        <v>72.5</v>
      </c>
    </row>
    <row r="12" spans="1:6">
      <c r="A12" s="6" t="s">
        <v>23</v>
      </c>
      <c r="B12" s="8" t="s">
        <v>24</v>
      </c>
      <c r="C12" s="14">
        <v>341.47</v>
      </c>
      <c r="D12" s="8">
        <v>1</v>
      </c>
      <c r="E12" s="18">
        <f t="shared" si="0"/>
        <v>341.47</v>
      </c>
    </row>
    <row r="13" spans="1:6" ht="15.75" thickBot="1">
      <c r="A13" s="19" t="s">
        <v>25</v>
      </c>
      <c r="B13" s="20" t="s">
        <v>26</v>
      </c>
      <c r="C13" s="14">
        <v>100</v>
      </c>
      <c r="D13" s="8">
        <v>1</v>
      </c>
      <c r="E13" s="18">
        <f t="shared" si="0"/>
        <v>100</v>
      </c>
    </row>
    <row r="14" spans="1:6" ht="15.75" thickBot="1">
      <c r="A14" s="21" t="s">
        <v>27</v>
      </c>
      <c r="B14" s="22"/>
    </row>
    <row r="15" spans="1:6" ht="15.75" thickBot="1">
      <c r="A15" s="1" t="s">
        <v>28</v>
      </c>
      <c r="B15" s="1" t="s">
        <v>29</v>
      </c>
      <c r="C15" t="s">
        <v>30</v>
      </c>
    </row>
    <row r="16" spans="1:6">
      <c r="A16" s="3" t="s">
        <v>31</v>
      </c>
      <c r="B16" s="4">
        <v>100</v>
      </c>
    </row>
    <row r="17" spans="1:2">
      <c r="A17" s="2" t="s">
        <v>32</v>
      </c>
      <c r="B17" s="5">
        <v>500</v>
      </c>
    </row>
    <row r="18" spans="1:2">
      <c r="A18" s="2" t="s">
        <v>33</v>
      </c>
      <c r="B18" s="5">
        <v>1500</v>
      </c>
    </row>
    <row r="19" spans="1:2" ht="15.75" thickBot="1"/>
    <row r="20" spans="1:2" ht="15.75" thickBot="1">
      <c r="A20" s="13" t="s">
        <v>34</v>
      </c>
      <c r="B20" s="12">
        <f>SUM(E4:E13,B16:B18)</f>
        <v>18283.169999999998</v>
      </c>
    </row>
  </sheetData>
  <mergeCells count="3">
    <mergeCell ref="A14:B14"/>
    <mergeCell ref="A1:E1"/>
    <mergeCell ref="A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47DF97F5812C48AC56EEAD13F91A14" ma:contentTypeVersion="5" ma:contentTypeDescription="Create a new document." ma:contentTypeScope="" ma:versionID="8d32c177f0e186412c46aab4fc0fa054">
  <xsd:schema xmlns:xsd="http://www.w3.org/2001/XMLSchema" xmlns:xs="http://www.w3.org/2001/XMLSchema" xmlns:p="http://schemas.microsoft.com/office/2006/metadata/properties" xmlns:ns3="2738bcf7-a7d1-483c-b8c3-3b8e485feb0d" xmlns:ns4="d1ec2133-7910-4f97-ace8-d26c43b5439e" targetNamespace="http://schemas.microsoft.com/office/2006/metadata/properties" ma:root="true" ma:fieldsID="844957290eebf3d3a0b3032df6767e52" ns3:_="" ns4:_="">
    <xsd:import namespace="2738bcf7-a7d1-483c-b8c3-3b8e485feb0d"/>
    <xsd:import namespace="d1ec2133-7910-4f97-ace8-d26c43b543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38bcf7-a7d1-483c-b8c3-3b8e485fe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c2133-7910-4f97-ace8-d26c43b543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62947F-A5B2-4651-BBB2-1441F083E8AA}"/>
</file>

<file path=customXml/itemProps2.xml><?xml version="1.0" encoding="utf-8"?>
<ds:datastoreItem xmlns:ds="http://schemas.openxmlformats.org/officeDocument/2006/customXml" ds:itemID="{8A658CAF-856E-411F-A530-3388EC95FC1C}"/>
</file>

<file path=customXml/itemProps3.xml><?xml version="1.0" encoding="utf-8"?>
<ds:datastoreItem xmlns:ds="http://schemas.openxmlformats.org/officeDocument/2006/customXml" ds:itemID="{501501B5-9BA2-459D-92EB-F16650FEF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Enrique Duarte Santos</dc:creator>
  <cp:keywords/>
  <dc:description/>
  <cp:lastModifiedBy>AMANDA FRUTEIRO DE LIMA .</cp:lastModifiedBy>
  <cp:revision/>
  <dcterms:created xsi:type="dcterms:W3CDTF">2021-03-07T00:39:50Z</dcterms:created>
  <dcterms:modified xsi:type="dcterms:W3CDTF">2021-03-07T23:30:14Z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0x0101004D47DF97F5812C48AC56EEAD13F91A14</vt:lpwstr>
  </property>
</Properties>
</file>